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ầu tư" sheetId="1" state="visible" r:id="rId1"/>
    <sheet xmlns:r="http://schemas.openxmlformats.org/officeDocument/2006/relationships" name="Đầu tư Trung Quốc" sheetId="2" state="visible" r:id="rId2"/>
    <sheet xmlns:r="http://schemas.openxmlformats.org/officeDocument/2006/relationships" name="Đầu tư Việt Nam" sheetId="3" state="visible" r:id="rId3"/>
    <sheet xmlns:r="http://schemas.openxmlformats.org/officeDocument/2006/relationships" name="Cơ cấu cổ đông" sheetId="4" state="visible" r:id="rId4"/>
    <sheet xmlns:r="http://schemas.openxmlformats.org/officeDocument/2006/relationships" name="Cổ tứ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Arial"/>
      <sz val="11"/>
    </font>
    <font>
      <name val="Arial"/>
      <b val="1"/>
      <color rgb="FFf05252"/>
      <sz val="11"/>
    </font>
  </fonts>
  <fills count="6">
    <fill>
      <patternFill/>
    </fill>
    <fill>
      <patternFill patternType="gray125"/>
    </fill>
    <fill>
      <patternFill patternType="solid">
        <fgColor rgb="FFa1e184"/>
        <bgColor rgb="FFa1e184"/>
      </patternFill>
    </fill>
    <fill>
      <patternFill patternType="solid">
        <fgColor rgb="FFfff4b9"/>
        <bgColor rgb="FFfff4b9"/>
      </patternFill>
    </fill>
    <fill>
      <patternFill patternType="solid">
        <fgColor rgb="FF9ae184"/>
        <bgColor rgb="FF9ae184"/>
      </patternFill>
    </fill>
    <fill>
      <patternFill patternType="solid">
        <fgColor rgb="FF83be37"/>
        <bgColor rgb="FF83be37"/>
      </patternFill>
    </fill>
  </fills>
  <borders count="1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/>
      <top style="thin">
        <color rgb="FF000000"/>
      </top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9" pivotButton="0" quotePrefix="0" xfId="0"/>
    <xf numFmtId="0" fontId="2" fillId="2" borderId="3" applyAlignment="1" pivotButton="0" quotePrefix="0" xfId="0">
      <alignment horizontal="center" vertical="center" wrapText="1"/>
    </xf>
    <xf numFmtId="3" fontId="1" fillId="0" borderId="0" pivotButton="0" quotePrefix="0" xfId="0"/>
    <xf numFmtId="0" fontId="2" fillId="0" borderId="0" pivotButton="0" quotePrefix="0" xfId="0"/>
    <xf numFmtId="0" fontId="0" fillId="0" borderId="13" pivotButton="0" quotePrefix="0" xfId="0"/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14" pivotButton="0" quotePrefix="0" xfId="0"/>
    <xf numFmtId="3" fontId="1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164" fontId="1" fillId="0" borderId="5" applyAlignment="1" pivotButton="0" quotePrefix="0" xfId="0">
      <alignment horizontal="center"/>
    </xf>
    <xf numFmtId="4" fontId="1" fillId="0" borderId="5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3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3" fontId="3" fillId="0" borderId="5" applyAlignment="1" pivotButton="0" quotePrefix="0" xfId="0">
      <alignment horizontal="center"/>
    </xf>
    <xf numFmtId="0" fontId="1" fillId="4" borderId="5" applyAlignment="1" pivotButton="0" quotePrefix="0" xfId="0">
      <alignment horizontal="center" vertical="center"/>
    </xf>
    <xf numFmtId="0" fontId="1" fillId="4" borderId="17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0" fillId="0" borderId="16" pivotButton="0" quotePrefix="0" xfId="0"/>
    <xf numFmtId="0" fontId="1" fillId="0" borderId="15" applyAlignment="1" pivotButton="0" quotePrefix="0" xfId="0">
      <alignment horizontal="center" vertical="center"/>
    </xf>
    <xf numFmtId="3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3" fontId="2" fillId="0" borderId="0" pivotButton="0" quotePrefix="0" xfId="0"/>
    <xf numFmtId="0" fontId="1" fillId="5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cols>
    <col width="23" customWidth="1" min="1" max="1"/>
    <col width="10.28571428571429" customWidth="1" min="2" max="2"/>
    <col width="23" customWidth="1" min="3" max="3"/>
    <col width="10.28571428571429" customWidth="1" min="4" max="4"/>
    <col width="23" customWidth="1" min="5" max="5"/>
    <col width="10.28571428571429" customWidth="1" min="6" max="6"/>
    <col width="11.85714285714286" customWidth="1" min="7" max="7"/>
    <col width="17" customWidth="1" min="8" max="8"/>
    <col width="17.42857142857143" customWidth="1" min="9" max="9"/>
    <col width="17.42857142857143" customWidth="1" min="10" max="10"/>
    <col width="15.42857142857143" customWidth="1" min="11" max="11"/>
    <col width="16" customWidth="1" min="12" max="12"/>
    <col width="16" customWidth="1" min="13" max="13"/>
    <col width="23" customWidth="1" min="14" max="14"/>
    <col width="10.28571428571429" customWidth="1" min="15" max="15"/>
  </cols>
  <sheetData>
    <row r="1" ht="18" customHeight="1">
      <c r="A1" s="1" t="inlineStr">
        <is>
          <t>STT</t>
        </is>
      </c>
      <c r="B1" s="1" t="inlineStr">
        <is>
          <t>Năm</t>
        </is>
      </c>
      <c r="C1" s="1" t="inlineStr">
        <is>
          <t>Công ty</t>
        </is>
      </c>
    </row>
    <row r="2" ht="18" customHeight="1">
      <c r="D2" s="2" t="inlineStr">
        <is>
          <t>Năm</t>
        </is>
      </c>
      <c r="E2" s="2" t="inlineStr">
        <is>
          <t>Công ty</t>
        </is>
      </c>
      <c r="F2" s="2" t="inlineStr">
        <is>
          <t>Thanh toán từ</t>
        </is>
      </c>
      <c r="G2" s="2" t="inlineStr">
        <is>
          <t>Thanh toán đến</t>
        </is>
      </c>
      <c r="H2" s="3" t="inlineStr">
        <is>
          <t>Số tiền</t>
        </is>
      </c>
      <c r="I2" s="4" t="n"/>
      <c r="J2" s="4" t="n"/>
      <c r="K2" s="3" t="inlineStr">
        <is>
          <t>Tỷ giá</t>
        </is>
      </c>
      <c r="L2" s="4" t="n"/>
      <c r="M2" s="2" t="inlineStr">
        <is>
          <t>Ngày</t>
        </is>
      </c>
      <c r="N2" s="2" t="inlineStr">
        <is>
          <t>Tiền mặt/Chuyển khoản</t>
        </is>
      </c>
      <c r="O2" s="5" t="inlineStr">
        <is>
          <t>Ghi chú</t>
        </is>
      </c>
    </row>
    <row r="3" ht="22.5" customHeight="1">
      <c r="A3" s="1" t="inlineStr">
        <is>
          <t># 01</t>
        </is>
      </c>
      <c r="B3" s="6" t="n">
        <v>2026</v>
      </c>
      <c r="C3" s="7" t="inlineStr">
        <is>
          <t>Choice VN</t>
        </is>
      </c>
      <c r="D3" s="8" t="n"/>
      <c r="E3" s="8" t="n"/>
      <c r="F3" s="8" t="n"/>
      <c r="G3" s="8" t="n"/>
      <c r="H3" s="9" t="inlineStr">
        <is>
          <t>RMB</t>
        </is>
      </c>
      <c r="I3" s="9" t="inlineStr">
        <is>
          <t>VND</t>
        </is>
      </c>
      <c r="J3" s="9" t="inlineStr">
        <is>
          <t>USD</t>
        </is>
      </c>
      <c r="K3" s="10" t="inlineStr">
        <is>
          <t>RMB-VND</t>
        </is>
      </c>
      <c r="L3" s="11" t="inlineStr">
        <is>
          <t>USD-RMB</t>
        </is>
      </c>
      <c r="M3" s="8" t="n"/>
      <c r="N3" s="8" t="n"/>
      <c r="O3" s="12" t="n"/>
    </row>
    <row r="4" ht="22.5" customHeight="1">
      <c r="A4" s="1" t="inlineStr">
        <is>
          <t>Công ty</t>
        </is>
      </c>
      <c r="B4" s="6" t="n">
        <v>2026</v>
      </c>
      <c r="C4" s="7" t="inlineStr">
        <is>
          <t>Choice VN</t>
        </is>
      </c>
      <c r="D4" s="13" t="n">
        <v>2026</v>
      </c>
      <c r="E4" s="14" t="inlineStr">
        <is>
          <t>Choice VN</t>
        </is>
      </c>
      <c r="F4" s="15" t="inlineStr">
        <is>
          <t>T.L</t>
        </is>
      </c>
      <c r="G4" s="15" t="inlineStr">
        <is>
          <t>A.C</t>
        </is>
      </c>
      <c r="H4" s="13" t="n">
        <v>100000</v>
      </c>
      <c r="I4" s="13">
        <f>H4*K4</f>
        <v/>
      </c>
      <c r="J4" s="13">
        <f>H4/L4</f>
        <v/>
      </c>
      <c r="K4" s="13" t="n">
        <v>3800</v>
      </c>
      <c r="L4" s="16" t="n">
        <v>7</v>
      </c>
      <c r="M4" s="17" t="n">
        <v>46036</v>
      </c>
      <c r="N4" s="14" t="inlineStr">
        <is>
          <t>Ngân hàng trực tuyến</t>
        </is>
      </c>
      <c r="O4" s="15" t="n"/>
    </row>
    <row r="5" ht="22.5" customHeight="1">
      <c r="B5" s="6" t="n">
        <v>2026</v>
      </c>
      <c r="C5" s="7" t="inlineStr">
        <is>
          <t>Choice VN</t>
        </is>
      </c>
      <c r="D5" s="13" t="n">
        <v>2026</v>
      </c>
      <c r="E5" s="14" t="inlineStr">
        <is>
          <t>Choice VN</t>
        </is>
      </c>
      <c r="F5" s="15" t="inlineStr">
        <is>
          <t>T.L</t>
        </is>
      </c>
      <c r="G5" s="15" t="inlineStr">
        <is>
          <t>A.C</t>
        </is>
      </c>
      <c r="H5" s="13" t="n">
        <v>600000</v>
      </c>
      <c r="I5" s="13">
        <f>H5*K5</f>
        <v/>
      </c>
      <c r="J5" s="13">
        <f>H5/L5</f>
        <v/>
      </c>
      <c r="K5" s="13" t="n">
        <v>3800</v>
      </c>
      <c r="L5" s="18" t="n">
        <v>7</v>
      </c>
      <c r="M5" s="17" t="n">
        <v>46083</v>
      </c>
      <c r="N5" s="15" t="inlineStr">
        <is>
          <t>Tiền mặt/Chuyển khoản</t>
        </is>
      </c>
      <c r="O5" s="15" t="n"/>
    </row>
    <row r="6" ht="18" customHeight="1">
      <c r="A6" s="6" t="n"/>
      <c r="C6" s="19" t="inlineStr">
        <is>
          <t># 03</t>
        </is>
      </c>
      <c r="D6" s="20" t="n">
        <v>2026</v>
      </c>
      <c r="E6" s="21" t="inlineStr">
        <is>
          <t>Choice VN</t>
        </is>
      </c>
      <c r="F6" s="19" t="inlineStr">
        <is>
          <t>T.L</t>
        </is>
      </c>
      <c r="G6" s="19" t="inlineStr">
        <is>
          <t>A.C</t>
        </is>
      </c>
      <c r="H6" s="20" t="n">
        <v>628000</v>
      </c>
      <c r="I6" s="20" t="n">
        <v>2386400000</v>
      </c>
      <c r="J6" s="20" t="n">
        <v>89714.28571428571</v>
      </c>
      <c r="K6" s="13" t="n">
        <v>3850</v>
      </c>
      <c r="L6" s="18" t="n">
        <v>7</v>
      </c>
      <c r="M6" s="17" t="n">
        <v>46153</v>
      </c>
      <c r="N6" s="15" t="inlineStr">
        <is>
          <t>Tiền mặt/Chuyển khoản</t>
        </is>
      </c>
      <c r="O6" s="15" t="n"/>
    </row>
    <row r="7" ht="18" customHeight="1">
      <c r="A7" s="6" t="n"/>
      <c r="D7" s="6" t="n"/>
    </row>
    <row r="8" ht="18" customHeight="1">
      <c r="A8" s="6" t="n"/>
      <c r="E8" s="1" t="n"/>
    </row>
    <row r="9" ht="18" customHeight="1">
      <c r="A9" s="6" t="n"/>
    </row>
    <row r="10" ht="18" customHeight="1">
      <c r="A10" s="6" t="n"/>
      <c r="C10" s="22" t="inlineStr">
        <is>
          <t>TỔNG CỘNG</t>
        </is>
      </c>
      <c r="D10" s="23" t="n"/>
      <c r="E10" s="23" t="n"/>
      <c r="F10" s="23" t="n"/>
      <c r="G10" s="24" t="n"/>
      <c r="H10" s="25">
        <f>H4+H5+H6</f>
        <v/>
      </c>
      <c r="I10" s="25">
        <f>I4+I5+I6</f>
        <v/>
      </c>
      <c r="J10" s="25" t="n">
        <v>189714.2857142857</v>
      </c>
      <c r="K10" s="7" t="n"/>
      <c r="L10" s="7" t="n"/>
      <c r="M10" s="7" t="n"/>
      <c r="N10" s="7" t="n"/>
      <c r="O10" s="7" t="n"/>
    </row>
    <row r="11">
      <c r="A11" s="6" t="n"/>
      <c r="C11" s="1" t="n"/>
      <c r="E11" s="1" t="n"/>
    </row>
    <row r="12" ht="18" customHeight="1">
      <c r="A12" s="6" t="n"/>
      <c r="C12" s="7" t="inlineStr">
        <is>
          <t>Choice VN</t>
        </is>
      </c>
      <c r="E12" s="6" t="n"/>
    </row>
    <row r="13" ht="18" customHeight="1">
      <c r="A13" s="6" t="n"/>
      <c r="C13" s="7" t="inlineStr">
        <is>
          <t>Choice VN</t>
        </is>
      </c>
    </row>
    <row r="14" ht="18" customHeight="1">
      <c r="A14" s="6" t="n"/>
      <c r="C14" s="7" t="inlineStr">
        <is>
          <t>Choice VN</t>
        </is>
      </c>
    </row>
    <row r="15">
      <c r="A15" s="6" t="n"/>
    </row>
    <row r="31">
      <c r="E31" s="6" t="n">
        <v>0</v>
      </c>
    </row>
    <row r="32">
      <c r="E32" s="6" t="n">
        <v>9001</v>
      </c>
    </row>
    <row r="33">
      <c r="E33" s="6" t="n">
        <v>9002</v>
      </c>
    </row>
    <row r="34">
      <c r="E34" s="6" t="n">
        <v>9003</v>
      </c>
    </row>
    <row r="35">
      <c r="E35" s="6" t="n">
        <v>9004</v>
      </c>
    </row>
    <row r="36">
      <c r="E36" s="6" t="n">
        <v>9</v>
      </c>
    </row>
    <row r="41">
      <c r="U41" s="6" t="n">
        <v>8</v>
      </c>
    </row>
    <row r="43">
      <c r="W43" s="6" t="n">
        <v>5</v>
      </c>
    </row>
    <row r="45">
      <c r="X45" s="6" t="n"/>
    </row>
    <row r="46">
      <c r="A46" s="1" t="inlineStr">
        <is>
          <t>STT</t>
        </is>
      </c>
    </row>
  </sheetData>
  <mergeCells count="14">
    <mergeCell ref="C10:G10"/>
    <mergeCell ref="K2:L2"/>
    <mergeCell ref="A4:A5"/>
    <mergeCell ref="O2:O3"/>
    <mergeCell ref="M2:M3"/>
    <mergeCell ref="B1:B2"/>
    <mergeCell ref="C1:C2"/>
    <mergeCell ref="N2:N3"/>
    <mergeCell ref="D2:D3"/>
    <mergeCell ref="H2:J2"/>
    <mergeCell ref="F2:F3"/>
    <mergeCell ref="E2:E3"/>
    <mergeCell ref="G2:G3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O12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5.714285714285714" customWidth="1" min="2" max="2"/>
    <col width="8" customWidth="1" min="3" max="3"/>
    <col width="9.714285714285714" customWidth="1" min="4" max="4"/>
    <col width="12.42857142857143" customWidth="1" min="5" max="5"/>
    <col width="10.28571428571429" customWidth="1" min="6" max="6"/>
    <col width="11.85714285714286" customWidth="1" min="7" max="7"/>
    <col width="14.42857142857143" customWidth="1" min="8" max="8"/>
    <col width="14.42857142857143" customWidth="1" min="9" max="9"/>
    <col width="14.42857142857143" customWidth="1" min="10" max="10"/>
    <col width="11.28571428571429" customWidth="1" min="11" max="11"/>
    <col width="11.28571428571429" customWidth="1" min="12" max="12"/>
    <col width="13.42857142857143" customWidth="1" min="13" max="13"/>
    <col width="16.71428571428572" customWidth="1" min="14" max="14"/>
    <col width="10.28571428571429" customWidth="1" min="15" max="15"/>
  </cols>
  <sheetData>
    <row r="2" ht="18" customHeight="1">
      <c r="C2" s="26" t="inlineStr">
        <is>
          <t>STT</t>
        </is>
      </c>
      <c r="D2" s="27" t="inlineStr">
        <is>
          <t>Năm</t>
        </is>
      </c>
      <c r="E2" s="28" t="inlineStr">
        <is>
          <t>Công ty</t>
        </is>
      </c>
      <c r="F2" s="28" t="inlineStr">
        <is>
          <t>Thanh toán từ</t>
        </is>
      </c>
      <c r="G2" s="28" t="inlineStr">
        <is>
          <t>Thanh toán đến</t>
        </is>
      </c>
      <c r="H2" s="28" t="inlineStr">
        <is>
          <t>Số tiền</t>
        </is>
      </c>
      <c r="I2" s="4" t="n"/>
      <c r="J2" s="4" t="n"/>
      <c r="K2" s="28" t="inlineStr">
        <is>
          <t>Tỷ giá</t>
        </is>
      </c>
      <c r="L2" s="4" t="n"/>
      <c r="M2" s="28" t="inlineStr">
        <is>
          <t>Ngày</t>
        </is>
      </c>
      <c r="N2" s="28" t="inlineStr">
        <is>
          <t>Tiền mặt/Chuyển khoản</t>
        </is>
      </c>
      <c r="O2" s="29" t="inlineStr">
        <is>
          <t>Ghi chú</t>
        </is>
      </c>
    </row>
    <row r="3" ht="18" customHeight="1">
      <c r="C3" s="30" t="n"/>
      <c r="E3" s="8" t="n"/>
      <c r="F3" s="8" t="n"/>
      <c r="G3" s="8" t="n"/>
      <c r="H3" s="26" t="inlineStr">
        <is>
          <t>RMB</t>
        </is>
      </c>
      <c r="I3" s="26" t="inlineStr">
        <is>
          <t>VND</t>
        </is>
      </c>
      <c r="J3" s="26" t="inlineStr">
        <is>
          <t>USD</t>
        </is>
      </c>
      <c r="K3" s="26" t="inlineStr">
        <is>
          <t>RMB-VND</t>
        </is>
      </c>
      <c r="L3" s="26" t="inlineStr">
        <is>
          <t>USD-RMB</t>
        </is>
      </c>
      <c r="M3" s="8" t="n"/>
      <c r="N3" s="8" t="n"/>
      <c r="O3" s="12" t="n"/>
    </row>
    <row r="4" ht="22.5" customHeight="1">
      <c r="C4" s="31" t="inlineStr">
        <is>
          <t># 01</t>
        </is>
      </c>
      <c r="D4" s="32" t="n">
        <v>2026</v>
      </c>
      <c r="E4" s="33" t="inlineStr">
        <is>
          <t>Choice VN</t>
        </is>
      </c>
      <c r="F4" s="33" t="inlineStr">
        <is>
          <t>T.L</t>
        </is>
      </c>
      <c r="G4" s="33" t="inlineStr">
        <is>
          <t>A.C</t>
        </is>
      </c>
      <c r="H4" s="32" t="n">
        <v>100000</v>
      </c>
      <c r="I4" s="32" t="n">
        <v>380000000</v>
      </c>
      <c r="J4" s="32" t="n">
        <v>14285.71428571429</v>
      </c>
      <c r="K4" s="32" t="n">
        <v>3800</v>
      </c>
      <c r="L4" s="32" t="n">
        <v>7</v>
      </c>
      <c r="M4" s="34" t="n">
        <v>46036</v>
      </c>
      <c r="N4" s="33" t="inlineStr">
        <is>
          <t>Ngân hàng trực tuyến</t>
        </is>
      </c>
      <c r="O4" s="33" t="n"/>
    </row>
    <row r="5" ht="22.5" customHeight="1">
      <c r="C5" s="33" t="inlineStr">
        <is>
          <t># 02</t>
        </is>
      </c>
      <c r="D5" s="32" t="n">
        <v>2026</v>
      </c>
      <c r="E5" s="33" t="inlineStr">
        <is>
          <t>Choice VN</t>
        </is>
      </c>
      <c r="F5" s="33" t="inlineStr">
        <is>
          <t>T.L</t>
        </is>
      </c>
      <c r="G5" s="33" t="inlineStr">
        <is>
          <t>A.C</t>
        </is>
      </c>
      <c r="H5" s="32" t="n">
        <v>600000</v>
      </c>
      <c r="I5" s="32" t="n">
        <v>2280000000</v>
      </c>
      <c r="J5" s="32" t="n">
        <v>85714.28571428571</v>
      </c>
      <c r="K5" s="32" t="n">
        <v>3800</v>
      </c>
      <c r="L5" s="32" t="n">
        <v>7</v>
      </c>
      <c r="M5" s="34" t="n">
        <v>46083</v>
      </c>
      <c r="N5" s="33" t="inlineStr">
        <is>
          <t>Tiền mặt/Chuyển khoản</t>
        </is>
      </c>
      <c r="O5" s="33" t="n"/>
    </row>
    <row r="6" ht="18" customHeight="1">
      <c r="C6" s="33" t="inlineStr">
        <is>
          <t># 03</t>
        </is>
      </c>
      <c r="D6" s="32" t="n">
        <v>2026</v>
      </c>
      <c r="E6" s="33" t="inlineStr">
        <is>
          <t>Choice VN</t>
        </is>
      </c>
      <c r="F6" s="33" t="inlineStr">
        <is>
          <t>T.L</t>
        </is>
      </c>
      <c r="G6" s="33" t="inlineStr">
        <is>
          <t>A.C</t>
        </is>
      </c>
      <c r="H6" s="35" t="n">
        <v>628000</v>
      </c>
      <c r="I6" s="35" t="n">
        <v>2386400000</v>
      </c>
      <c r="J6" s="35" t="n">
        <v>89714.28571428571</v>
      </c>
      <c r="K6" s="32" t="n">
        <v>3850</v>
      </c>
      <c r="L6" s="32" t="n">
        <v>7</v>
      </c>
      <c r="M6" s="34" t="n">
        <v>46153</v>
      </c>
      <c r="N6" s="33" t="inlineStr">
        <is>
          <t>Tiền mặt/Chuyển khoản</t>
        </is>
      </c>
      <c r="O6" s="33" t="n"/>
    </row>
    <row r="7" ht="18" customHeight="1">
      <c r="C7" s="36" t="inlineStr">
        <is>
          <t>TỔNG CỘNG</t>
        </is>
      </c>
      <c r="H7" s="32" t="n">
        <v>1328000</v>
      </c>
      <c r="I7" s="32" t="n">
        <v>5046400000</v>
      </c>
      <c r="J7" s="32" t="n">
        <v>189714.2857142857</v>
      </c>
    </row>
    <row r="9" ht="18" customHeight="1"/>
    <row r="11" ht="18" customHeight="1">
      <c r="E11" s="6" t="n"/>
      <c r="F11" s="37" t="n"/>
      <c r="G11" s="37" t="n"/>
    </row>
    <row r="12" ht="18" customHeight="1">
      <c r="E12" s="6" t="n"/>
      <c r="F12" s="37" t="n"/>
      <c r="G12" s="37" t="n"/>
    </row>
    <row r="13" ht="18" customHeight="1"/>
    <row r="14" ht="18" customHeight="1"/>
    <row r="15" ht="18" customHeight="1"/>
    <row r="16" ht="18" customHeight="1"/>
  </sheetData>
  <mergeCells count="11">
    <mergeCell ref="C7:G7"/>
    <mergeCell ref="N2:N3"/>
    <mergeCell ref="K2:L2"/>
    <mergeCell ref="D2:D3"/>
    <mergeCell ref="O2:O3"/>
    <mergeCell ref="M2:M3"/>
    <mergeCell ref="H2:J2"/>
    <mergeCell ref="C2:C3"/>
    <mergeCell ref="F2:F3"/>
    <mergeCell ref="E2:E3"/>
    <mergeCell ref="G2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O7"/>
  <sheetViews>
    <sheetView workbookViewId="0">
      <selection activeCell="A1" sqref="A1"/>
    </sheetView>
  </sheetViews>
  <sheetFormatPr baseColWidth="8" defaultRowHeight="15"/>
  <cols>
    <col width="10.28571428571429" customWidth="1" min="3" max="3"/>
    <col width="10.28571428571429" customWidth="1" min="4" max="4"/>
    <col width="12.42857142857143" customWidth="1" min="5" max="5"/>
    <col width="11.85714285714286" customWidth="1" min="6" max="6"/>
    <col width="12.42857142857143" customWidth="1" min="7" max="7"/>
    <col width="17" customWidth="1" min="8" max="8"/>
    <col width="17.42857142857143" customWidth="1" min="9" max="9"/>
    <col width="17.42857142857143" customWidth="1" min="10" max="10"/>
    <col width="15.42857142857143" customWidth="1" min="11" max="11"/>
    <col width="16" customWidth="1" min="12" max="12"/>
    <col width="16" customWidth="1" min="13" max="13"/>
    <col width="23" customWidth="1" min="14" max="14"/>
    <col width="10.28571428571429" customWidth="1" min="15" max="15"/>
  </cols>
  <sheetData>
    <row r="2" ht="18" customHeight="1">
      <c r="C2" s="38" t="inlineStr">
        <is>
          <t>STT</t>
        </is>
      </c>
      <c r="D2" s="1" t="inlineStr">
        <is>
          <t>Năm</t>
        </is>
      </c>
      <c r="E2" s="1" t="inlineStr">
        <is>
          <t>Công ty</t>
        </is>
      </c>
      <c r="F2" s="1" t="inlineStr">
        <is>
          <t>Thanh toán từ</t>
        </is>
      </c>
      <c r="G2" s="1" t="inlineStr">
        <is>
          <t>Thanh toán đến</t>
        </is>
      </c>
      <c r="H2" s="1" t="inlineStr">
        <is>
          <t>Số tiền</t>
        </is>
      </c>
      <c r="K2" s="1" t="inlineStr">
        <is>
          <t>Tỷ giá</t>
        </is>
      </c>
      <c r="M2" s="1" t="inlineStr">
        <is>
          <t>Ngày</t>
        </is>
      </c>
      <c r="N2" s="1" t="inlineStr">
        <is>
          <t>Tiền mặt/Chuyển khoản</t>
        </is>
      </c>
      <c r="O2" s="1" t="inlineStr">
        <is>
          <t>Ghi chú</t>
        </is>
      </c>
    </row>
    <row r="3" ht="18" customHeight="1">
      <c r="H3" s="1" t="inlineStr">
        <is>
          <t>RMB</t>
        </is>
      </c>
      <c r="I3" s="1" t="inlineStr">
        <is>
          <t>VND</t>
        </is>
      </c>
      <c r="J3" s="1" t="inlineStr">
        <is>
          <t>USD</t>
        </is>
      </c>
      <c r="K3" s="1" t="inlineStr">
        <is>
          <t>RMB-VND</t>
        </is>
      </c>
      <c r="L3" s="1" t="inlineStr">
        <is>
          <t>USD-RMB</t>
        </is>
      </c>
    </row>
    <row r="4" ht="22.5" customHeight="1">
      <c r="C4" s="1" t="inlineStr">
        <is>
          <t># 01</t>
        </is>
      </c>
      <c r="D4" s="6" t="n">
        <v>2026</v>
      </c>
      <c r="E4" s="1" t="inlineStr">
        <is>
          <t>Choice VN</t>
        </is>
      </c>
      <c r="F4" s="1" t="inlineStr">
        <is>
          <t>A.C</t>
        </is>
      </c>
      <c r="G4" s="1" t="inlineStr">
        <is>
          <t>Choice VN</t>
        </is>
      </c>
      <c r="H4" s="6" t="n">
        <v>249350.6493506494</v>
      </c>
      <c r="I4" s="6" t="n">
        <v>960000000</v>
      </c>
      <c r="J4" s="6" t="n">
        <v>37272.14489546328</v>
      </c>
      <c r="K4" s="6" t="n">
        <v>3850</v>
      </c>
      <c r="L4" s="6" t="n">
        <v>6.69</v>
      </c>
      <c r="M4" s="39" t="n">
        <v>46311</v>
      </c>
      <c r="N4" s="1" t="inlineStr">
        <is>
          <t>Ngân hàng trực tuyến</t>
        </is>
      </c>
    </row>
    <row r="5" ht="18" customHeight="1">
      <c r="C5" s="1" t="inlineStr">
        <is>
          <t># 02</t>
        </is>
      </c>
      <c r="D5" s="6" t="n">
        <v>2026</v>
      </c>
      <c r="E5" s="1" t="inlineStr">
        <is>
          <t>Choice VN</t>
        </is>
      </c>
      <c r="F5" s="1" t="inlineStr">
        <is>
          <t>A.J</t>
        </is>
      </c>
      <c r="G5" s="1" t="inlineStr">
        <is>
          <t>Choice VN</t>
        </is>
      </c>
      <c r="H5" s="6" t="n">
        <v>529870.1298701299</v>
      </c>
      <c r="I5" s="6" t="n">
        <v>2040000000</v>
      </c>
      <c r="J5" s="6" t="n">
        <v>79203.30790285948</v>
      </c>
      <c r="K5" s="6" t="n">
        <v>3850</v>
      </c>
      <c r="L5" s="6" t="n">
        <v>6.69</v>
      </c>
      <c r="M5" s="39" t="n">
        <v>46311</v>
      </c>
      <c r="N5" s="1" t="inlineStr">
        <is>
          <t>Ngân hàng trực tuyến</t>
        </is>
      </c>
    </row>
    <row r="6" ht="18" customHeight="1">
      <c r="C6" s="1" t="inlineStr">
        <is>
          <t># 03</t>
        </is>
      </c>
      <c r="D6" s="6" t="n">
        <v>2026</v>
      </c>
      <c r="E6" s="1" t="inlineStr">
        <is>
          <t>Choice VN</t>
        </is>
      </c>
      <c r="F6" s="1" t="inlineStr">
        <is>
          <t>A.L</t>
        </is>
      </c>
      <c r="G6" s="1" t="inlineStr">
        <is>
          <t>Choice VN</t>
        </is>
      </c>
      <c r="H6" s="6" t="n">
        <v>415584.4155844156</v>
      </c>
      <c r="I6" s="6" t="n">
        <v>1600000000</v>
      </c>
      <c r="J6" s="6" t="n">
        <v>89714.28571428571</v>
      </c>
      <c r="K6" s="6" t="n">
        <v>3850</v>
      </c>
      <c r="L6" s="6" t="n">
        <v>6.69</v>
      </c>
      <c r="M6" s="39" t="n">
        <v>46311</v>
      </c>
      <c r="N6" s="1" t="inlineStr">
        <is>
          <t>Ngân hàng trực tuyến</t>
        </is>
      </c>
    </row>
    <row r="7" ht="18" customHeight="1">
      <c r="C7" s="1" t="inlineStr">
        <is>
          <t>TỔNG CỘNG</t>
        </is>
      </c>
      <c r="H7" s="6" t="n">
        <v>1194805.194805195</v>
      </c>
      <c r="I7" s="6" t="n">
        <v>4600000000</v>
      </c>
      <c r="J7" s="6" t="n">
        <v>189714.2857142857</v>
      </c>
    </row>
  </sheetData>
  <mergeCells count="11">
    <mergeCell ref="C7:G7"/>
    <mergeCell ref="N2:N3"/>
    <mergeCell ref="K2:L2"/>
    <mergeCell ref="D2:D3"/>
    <mergeCell ref="O2:O3"/>
    <mergeCell ref="M2:M3"/>
    <mergeCell ref="H2:J2"/>
    <mergeCell ref="C2:C3"/>
    <mergeCell ref="F2:F3"/>
    <mergeCell ref="E2:E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7:G8"/>
  <sheetViews>
    <sheetView workbookViewId="0">
      <selection activeCell="A1" sqref="A1"/>
    </sheetView>
  </sheetViews>
  <sheetFormatPr baseColWidth="8" defaultRowHeight="15"/>
  <sheetData>
    <row r="7">
      <c r="E7" s="1" t="n"/>
    </row>
    <row r="8">
      <c r="G8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8:G8"/>
  <sheetViews>
    <sheetView workbookViewId="0">
      <selection activeCell="A1" sqref="A1"/>
    </sheetView>
  </sheetViews>
  <sheetFormatPr baseColWidth="8" defaultRowHeight="15"/>
  <sheetData>
    <row r="8">
      <c r="F8" s="6" t="n"/>
      <c r="G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2026-10-18T06:17:32Z</dcterms:created>
  <dcterms:modified xmlns:dcterms="http://purl.org/dc/terms/" xmlns:xsi="http://www.w3.org/2001/XMLSchema-instance" xsi:type="dcterms:W3CDTF">2026-10-18T06:17:32Z</dcterms:modified>
</cp:coreProperties>
</file>